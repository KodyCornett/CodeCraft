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 VO Lin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<sst xmlns="http://schemas.openxmlformats.org/spreadsheetml/2006/main" count="455" uniqueCount="239">
  <si>
    <t xml:space="preserve">#</t>
  </si>
  <si>
    <t xml:space="preserve">Chapter</t>
  </si>
  <si>
    <t xml:space="preserve">Quest / Doc</t>
  </si>
  <si>
    <t xml:space="preserve">Stage</t>
  </si>
  <si>
    <t xml:space="preserve">Line Type</t>
  </si>
  <si>
    <t xml:space="preserve">Player Line</t>
  </si>
  <si>
    <t xml:space="preserve">Tone Direction</t>
  </si>
  <si>
    <t xml:space="preserve">Context (what prompted it)</t>
  </si>
  <si>
    <t xml:space="preserve">Audio Filename</t>
  </si>
  <si>
    <t xml:space="preserve">Male Take</t>
  </si>
  <si>
    <t xml:space="preserve">Female Take</t>
  </si>
  <si>
    <t xml:space="preserve">Prologue</t>
  </si>
  <si>
    <t xml:space="preserve">Quest 1: The Viral Breach — Knuckle</t>
  </si>
  <si>
    <t xml:space="preserve">1. Find Knuckle</t>
  </si>
  <si>
    <t xml:space="preserve">Dialogue Choice</t>
  </si>
  <si>
    <t xml:space="preserve">Is it going to kill me?</t>
  </si>
  <si>
    <t xml:space="preserve">COLD — flat, guarded; asking the blunt question because dread makes politeness pointless</t>
  </si>
  <si>
    <t xml:space="preserve">Knuckle just told the player the corruption in their rig is old, unfinished pre-collapse tech that's "still settling in."</t>
  </si>
  <si>
    <t xml:space="preserve">(none yet — choice line, not currently voiced)</t>
  </si>
  <si>
    <t xml:space="preserve">2. Deploy DISCONNECT_LAYER</t>
  </si>
  <si>
    <t xml:space="preserve">Field Comms</t>
  </si>
  <si>
    <t xml:space="preserve">Copy. Finishing the strip — we'll figure out the rest after.</t>
  </si>
  <si>
    <t xml:space="preserve">FOCUSED — clipped, all-business; deflecting the earlier scare by burying it in the job</t>
  </si>
  <si>
    <t xml:space="preserve">Knuckle radios: "Strip the layer and get out. We'll talk about the rest back here."</t>
  </si>
  <si>
    <t xml:space="preserve">(none yet — field comms line)</t>
  </si>
  <si>
    <t xml:space="preserve">3. Report Back</t>
  </si>
  <si>
    <t xml:space="preserve">How long before you know more?</t>
  </si>
  <si>
    <t xml:space="preserve">UNCERTAIN — quiet, hopeful; leaning on Knuckle for a timeline because they need something to hold onto</t>
  </si>
  <si>
    <t xml:space="preserve">Knuckle says the corruption reacted to the grid interference — it's "interested," not fighting.</t>
  </si>
  <si>
    <t xml:space="preserve">(none yet — choice line)</t>
  </si>
  <si>
    <t xml:space="preserve">Quest 2: The Smoothing Protocol — Veil</t>
  </si>
  <si>
    <t xml:space="preserve">1. Find Veil</t>
  </si>
  <si>
    <t xml:space="preserve">What's it doing?</t>
  </si>
  <si>
    <t xml:space="preserve">DIRECT — clear-eyed, wants the technical read, not comfort</t>
  </si>
  <si>
    <t xml:space="preserve">Veil says the corruption isn't ugly, it's built — "either brilliant, or dangerous."</t>
  </si>
  <si>
    <t xml:space="preserve">2. Flush the Buffer</t>
  </si>
  <si>
    <t xml:space="preserve">Clear. Whatever that was, it's gone now.</t>
  </si>
  <si>
    <t xml:space="preserve">STEADY — trying to sound calmer than they feel, masking unease with a clean report</t>
  </si>
  <si>
    <t xml:space="preserve">Veil radios: "Last of it's coming through. Flush and get clear."</t>
  </si>
  <si>
    <t xml:space="preserve">Recognized what?</t>
  </si>
  <si>
    <t xml:space="preserve">UNSETTLED — sharper than the last line; something in Veil's tone just put them on edge</t>
  </si>
  <si>
    <t xml:space="preserve">Veil: "I thought whatever's inside you resembled the loop. It doesn't. The loop recognized it."</t>
  </si>
  <si>
    <t xml:space="preserve">Quest 3: The Drift-Anchor — Float</t>
  </si>
  <si>
    <t xml:space="preserve">1. Find Float</t>
  </si>
  <si>
    <t xml:space="preserve">What doesn't make sense?</t>
  </si>
  <si>
    <t xml:space="preserve">CAREFUL — probing gently, picking up on Float's own unease</t>
  </si>
  <si>
    <t xml:space="preserve">Float, half to herself: "No. No, that doesn't make any sense."</t>
  </si>
  <si>
    <t xml:space="preserve">Can you remove it?</t>
  </si>
  <si>
    <t xml:space="preserve">DIRECT — hopeful but bracing, wants a straight answer</t>
  </si>
  <si>
    <t xml:space="preserve">Float: "Systems don't behave this well by accident."</t>
  </si>
  <si>
    <t xml:space="preserve">2. Soak the Sink</t>
  </si>
  <si>
    <t xml:space="preserve">Closing it out. Hope it was worth watching.</t>
  </si>
  <si>
    <t xml:space="preserve">DRY — sardonic, a little annoyed at being studied like a specimen mid-job</t>
  </si>
  <si>
    <t xml:space="preserve">Float radios: "Close it out. I want to see what you're carrying."</t>
  </si>
  <si>
    <t xml:space="preserve">Worse?</t>
  </si>
  <si>
    <t xml:space="preserve">UNEASY — small, bracing word; doesn't want confirmation but needs it</t>
  </si>
  <si>
    <t xml:space="preserve">Float, flatly: "That's worse."</t>
  </si>
  <si>
    <t xml:space="preserve">What did you find?</t>
  </si>
  <si>
    <t xml:space="preserve">DIRECT — steady, wants the full answer even though it's clearly bad</t>
  </si>
  <si>
    <t xml:space="preserve">Float: "Whatever's inside you... it knew exactly what to do."</t>
  </si>
  <si>
    <t xml:space="preserve">Quest 4: The Deep Archive — Axiom</t>
  </si>
  <si>
    <t xml:space="preserve">1. Find Axiom</t>
  </si>
  <si>
    <t xml:space="preserve">Everybody keeps saying that.</t>
  </si>
  <si>
    <t xml:space="preserve">TIRED — worn down, dry exasperation at being called "curious" by every doc so far</t>
  </si>
  <si>
    <t xml:space="preserve">Axiom: "Well. That's curious. You do leave rather a trail behind you."</t>
  </si>
  <si>
    <t xml:space="preserve">Do you know what it is?</t>
  </si>
  <si>
    <t xml:space="preserve">DIRECT — cutting past the small talk, wants the answer</t>
  </si>
  <si>
    <t xml:space="preserve">Axiom: "Well. That is unusual."</t>
  </si>
  <si>
    <t xml:space="preserve">The archive dislikes you?</t>
  </si>
  <si>
    <t xml:space="preserve">AMUSED — a rare beat of dark humor breaking through the tension</t>
  </si>
  <si>
    <t xml:space="preserve">Axiom, dryly: "There is an archive... It dislikes me."</t>
  </si>
  <si>
    <t xml:space="preserve">2. Extract the Archive Packet</t>
  </si>
  <si>
    <t xml:space="preserve">Got it. Whatever 'it' decided, I'm not sticking around to ask.</t>
  </si>
  <si>
    <t xml:space="preserve">URGENT — wry but genuinely rattled; getting out before the archive changes its mind</t>
  </si>
  <si>
    <t xml:space="preserve">Axiom radios: "Extract it before the archive changes its mind."</t>
  </si>
  <si>
    <t xml:space="preserve">What does it say?</t>
  </si>
  <si>
    <t xml:space="preserve">FOCUSED — leaning in, wants the read</t>
  </si>
  <si>
    <t xml:space="preserve">Axiom: "Hm."</t>
  </si>
  <si>
    <t xml:space="preserve">That's not an answer.</t>
  </si>
  <si>
    <t xml:space="preserve">FLAT — impatient, calling out the deflection</t>
  </si>
  <si>
    <t xml:space="preserve">Axiom: "Less than I hoped. More than I expected."</t>
  </si>
  <si>
    <t xml:space="preserve">So you don't know.</t>
  </si>
  <si>
    <t xml:space="preserve">FLAT — clipped, a little accusatory</t>
  </si>
  <si>
    <t xml:space="preserve">Axiom: "Whatever is inside you... it is still writing itself."</t>
  </si>
  <si>
    <t xml:space="preserve">Nobody knows anything.</t>
  </si>
  <si>
    <t xml:space="preserve">BITTER — frustration boiling over after five docs' worth of non-answers</t>
  </si>
  <si>
    <t xml:space="preserve">Axiom: "I see stories. And stories are difficult to understand while one is still living inside them."</t>
  </si>
  <si>
    <t xml:space="preserve">So that's it?</t>
  </si>
  <si>
    <t xml:space="preserve">FLAT — deflated, expecting the worst</t>
  </si>
  <si>
    <t xml:space="preserve">Axiom lists what they do know, ending on "remarkable patience."</t>
  </si>
  <si>
    <t xml:space="preserve">That's not very reassuring.</t>
  </si>
  <si>
    <t xml:space="preserve">FLAT — dry understatement covering real fear</t>
  </si>
  <si>
    <t xml:space="preserve">Axiom: "Mm. For now, I believe so."</t>
  </si>
  <si>
    <t xml:space="preserve">And if it doesn't?</t>
  </si>
  <si>
    <t xml:space="preserve">QUIET — the fear finally shows through, no more deflecting</t>
  </si>
  <si>
    <t xml:space="preserve">Axiom, philosophical: "Understanding... arrives one conversation at a time."</t>
  </si>
  <si>
    <t xml:space="preserve">Quest 5: Ghost-Kernel Calibration — Patch</t>
  </si>
  <si>
    <t xml:space="preserve">1. Find Patch</t>
  </si>
  <si>
    <t xml:space="preserve">Please tell me somebody knows what's happening.</t>
  </si>
  <si>
    <t xml:space="preserve">DESPERATE — worn thin, dropping the composure they've held through four docs</t>
  </si>
  <si>
    <t xml:space="preserve">Patch: "Wow. That's rude." (deadpan, after the player's blunt entrance)</t>
  </si>
  <si>
    <t xml:space="preserve">2. Calibration Tether</t>
  </si>
  <si>
    <t xml:space="preserve">Stable. Barely. Bringing them in.</t>
  </si>
  <si>
    <t xml:space="preserve">STRAINED — adrenaline still up, relief and exhaustion at once</t>
  </si>
  <si>
    <t xml:space="preserve">Patch radios: "Last one. Get it stable and get out of there."</t>
  </si>
  <si>
    <t xml:space="preserve">Just tell me what's wrong with me.</t>
  </si>
  <si>
    <t xml:space="preserve">DIRECT — flat demand, out of patience for riddles</t>
  </si>
  <si>
    <t xml:space="preserve">Patch: "Hm. Hm."</t>
  </si>
  <si>
    <t xml:space="preserve">Seriously?</t>
  </si>
  <si>
    <t xml:space="preserve">FLAT — disbelief, short fuse</t>
  </si>
  <si>
    <t xml:space="preserve">Patch: "No idea."</t>
  </si>
  <si>
    <t xml:space="preserve">And this isn't?</t>
  </si>
  <si>
    <t xml:space="preserve">FLAT — pointed, comparing their situation to Patch's list of mundane human habits</t>
  </si>
  <si>
    <t xml:space="preserve">Patch lists things that "make sense eventually": dependency, habit, comfort...</t>
  </si>
  <si>
    <t xml:space="preserve">BITTER — the same frustrated line as with Axiom; the pattern has worn them down</t>
  </si>
  <si>
    <t xml:space="preserve">Patch: "No. Which is annoying. Interesting. But annoying."</t>
  </si>
  <si>
    <t xml:space="preserve">Meaning?</t>
  </si>
  <si>
    <t xml:space="preserve">FLAT — terse, wants Patch to just say the thing</t>
  </si>
  <si>
    <t xml:space="preserve">Patch: "I think everybody knows something. Which is considerably more inconvenient."</t>
  </si>
  <si>
    <t xml:space="preserve">Did anyone answer?</t>
  </si>
  <si>
    <t xml:space="preserve">DRY — deadpan, already knows the answer</t>
  </si>
  <si>
    <t xml:space="preserve">Patch: "Meaning nobody gets to be entirely correct... I've filed several complaints."</t>
  </si>
  <si>
    <t xml:space="preserve">That's your professional advice?</t>
  </si>
  <si>
    <t xml:space="preserve">DRY — deadpan, matching Patch's own register</t>
  </si>
  <si>
    <t xml:space="preserve">Patch, re: her plant screwdriver mystery: "Honestly, I still haven't figured out how that keeps happening."</t>
  </si>
  <si>
    <t xml:space="preserve">Chapter 1</t>
  </si>
  <si>
    <t xml:space="preserve">Quest 1: The Cold Static — Float</t>
  </si>
  <si>
    <t xml:space="preserve">1. Something Is Missing</t>
  </si>
  <si>
    <t xml:space="preserve">Spoken Line</t>
  </si>
  <si>
    <t xml:space="preserve">I... can't— something's... missing. I don't know how I got here.</t>
  </si>
  <si>
    <t xml:space="preserve">DISORIENTED / PANICKED — halting, vocal synth stuttering; real fear breaking through confusion</t>
  </si>
  <si>
    <t xml:space="preserve">The player just lost five minutes with no memory of it — narrator: "no door, no walk, no panic — just an empty grey void."</t>
  </si>
  <si>
    <t xml:space="preserve">player/chapter_1/c1_s1_p1_l6.mp3</t>
  </si>
  <si>
    <t xml:space="preserve">Where.</t>
  </si>
  <si>
    <t xml:space="preserve">TERSE — cutting straight to business, using the job as something to hold onto</t>
  </si>
  <si>
    <t xml:space="preserve">Float offers a job to keep digging on the anomaly while the player works.</t>
  </si>
  <si>
    <t xml:space="preserve">player/chapter_1/c1_s1_p1_l21.mp3</t>
  </si>
  <si>
    <t xml:space="preserve">2. The Relay Station</t>
  </si>
  <si>
    <t xml:space="preserve">Copy. Pulling it now.</t>
  </si>
  <si>
    <t xml:space="preserve">FOCUSED — routine, businesslike check-in</t>
  </si>
  <si>
    <t xml:space="preserve">Float radios: "Get the core and get out. I'll want a full read the second you're back."</t>
  </si>
  <si>
    <t xml:space="preserve">(none yet — field comms line, intentionally unvoiced per seeder notes)</t>
  </si>
  <si>
    <t xml:space="preserve">Did you pull anything off my read while I was in the field?</t>
  </si>
  <si>
    <t xml:space="preserve">CAUTIOUS — trying to sound casual, genuinely anxious about being monitored</t>
  </si>
  <si>
    <t xml:space="preserve">Float files the recovered module away without a word, all business.</t>
  </si>
  <si>
    <t xml:space="preserve">player/chapter_1/c1_s1_p2_l4.mp3</t>
  </si>
  <si>
    <t xml:space="preserve">If you can't read it, who can?</t>
  </si>
  <si>
    <t xml:space="preserve">PERSISTENT — pressing past Float's own confusion, controlled frustration</t>
  </si>
  <si>
    <t xml:space="preserve">Float: "It's built on something — referencing something — and none of it matches anything I've got catalogued."</t>
  </si>
  <si>
    <t xml:space="preserve">player/chapter_1/c1_s1_p2_l11.mp3</t>
  </si>
  <si>
    <t xml:space="preserve">Quest 2: The Reaching Signal — Axiom</t>
  </si>
  <si>
    <t xml:space="preserve">1. A Confident Guess</t>
  </si>
  <si>
    <t xml:space="preserve">No.</t>
  </si>
  <si>
    <t xml:space="preserve">FLAT / BRACED — short because they don't want to hear the answer</t>
  </si>
  <si>
    <t xml:space="preserve">Axiom asks if the player knows what "a signal correcting itself against feedback" usually means.</t>
  </si>
  <si>
    <t xml:space="preserve">player/chapter_1/c1_s2_p1_l5.mp3</t>
  </si>
  <si>
    <t xml:space="preserve">What's wrong with it?</t>
  </si>
  <si>
    <t xml:space="preserve">IMPATIENT — pushing past Axiom's evasive "not today"</t>
  </si>
  <si>
    <t xml:space="preserve">Axiom: "Of course. Not today."</t>
  </si>
  <si>
    <t xml:space="preserve">player/chapter_1/c1_s2_p1_l12.mp3</t>
  </si>
  <si>
    <t xml:space="preserve">Where do I go.</t>
  </si>
  <si>
    <t xml:space="preserve">RESIGNED — business-like, just wants to keep moving</t>
  </si>
  <si>
    <t xml:space="preserve">Axiom explains he'd rather have the real number than a fast one.</t>
  </si>
  <si>
    <t xml:space="preserve">player/chapter_1/c1_s2_p1_l16.mp3</t>
  </si>
  <si>
    <t xml:space="preserve">2. The Courier Depot</t>
  </si>
  <si>
    <t xml:space="preserve">Copy. Heading back now.</t>
  </si>
  <si>
    <t xml:space="preserve">FOCUSED — routine check-in</t>
  </si>
  <si>
    <t xml:space="preserve">Axiom radios: "Good. Bring it back whole. I'd rather wait an extra minute than reseat something cracked."</t>
  </si>
  <si>
    <t xml:space="preserve">Meaning what.</t>
  </si>
  <si>
    <t xml:space="preserve">UNSETTLED — demanding clarity as dread creeps in</t>
  </si>
  <si>
    <t xml:space="preserve">Axiom: the artifact references old architecture "the way flesh references a frame it was built around."</t>
  </si>
  <si>
    <t xml:space="preserve">player/chapter_1/c1_s2_p2_l12.mp3</t>
  </si>
  <si>
    <t xml:space="preserve">Further out than your archive.</t>
  </si>
  <si>
    <t xml:space="preserve">STUNNED — quiet, processing the scale of what Axiom just said</t>
  </si>
  <si>
    <t xml:space="preserve">Axiom: something used his archive as a conduit to "touch something further out."</t>
  </si>
  <si>
    <t xml:space="preserve">player/chapter_1/c1_s2_p2_l16.mp3</t>
  </si>
  <si>
    <t xml:space="preserve">Who do I see about the grid question.</t>
  </si>
  <si>
    <t xml:space="preserve">STEADYING — pushing forward despite the fear, keeping it practical</t>
  </si>
  <si>
    <t xml:space="preserve">Axiom: this is now "a grid question, not an archivist's question."</t>
  </si>
  <si>
    <t xml:space="preserve">player/chapter_1/c1_s2_p2_l20.mp3</t>
  </si>
  <si>
    <t xml:space="preserve">Quest 3: The Persistence Theory — Veil</t>
  </si>
  <si>
    <t xml:space="preserve">1. Reaching</t>
  </si>
  <si>
    <t xml:space="preserve">Where was it running?</t>
  </si>
  <si>
    <t xml:space="preserve">URGENT — leaning in, needs the specifics</t>
  </si>
  <si>
    <t xml:space="preserve">Veil: "I've seen this pattern. Once. A substation. Grid-scale."</t>
  </si>
  <si>
    <t xml:space="preserve">player/chapter_1/c1_s3_p1_l10.mp3</t>
  </si>
  <si>
    <t xml:space="preserve">What was that?</t>
  </si>
  <si>
    <t xml:space="preserve">ALARMED — startled by a physical sensation, something just happened to their own body</t>
  </si>
  <si>
    <t xml:space="preserve">Narrator: Veil finishes a sentence quietly, "like completing it outranks whatever just happened to you."</t>
  </si>
  <si>
    <t xml:space="preserve">player/chapter_1/c1_s3_p1_l18.mp3</t>
  </si>
  <si>
    <t xml:space="preserve">And the name. The one you didn't finish.</t>
  </si>
  <si>
    <t xml:space="preserve">INSISTENT — quiet but won't let it go</t>
  </si>
  <si>
    <t xml:space="preserve">Veil deflects to Knuckle: "Dampener's interface hardware. Not mine to fix... Go."</t>
  </si>
  <si>
    <t xml:space="preserve">player/chapter_1/c1_s3_p1_l24.mp3</t>
  </si>
  <si>
    <t xml:space="preserve">2. We Need to Speak</t>
  </si>
  <si>
    <t xml:space="preserve">What. Out with it already.</t>
  </si>
  <si>
    <t xml:space="preserve">IMPATIENT — sharp, irritated at Veil being cagey</t>
  </si>
  <si>
    <t xml:space="preserve">Veil (as "doc"): "Axiom's archive did the actual sorting. I just asked it the right question."</t>
  </si>
  <si>
    <t xml:space="preserve">player/chapter_1/c1_s3_p2_l4.mp3</t>
  </si>
  <si>
    <t xml:space="preserve">Quest 4: The Dead End — Knuckle</t>
  </si>
  <si>
    <t xml:space="preserve">1. Interface, Not Chassis</t>
  </si>
  <si>
    <t xml:space="preserve">Can you fix it?</t>
  </si>
  <si>
    <t xml:space="preserve">WORRIED — hopeful, wants reassurance after an injury</t>
  </si>
  <si>
    <t xml:space="preserve">Knuckle scans a burn on the player's rig, unhurried, cigarette unlit.</t>
  </si>
  <si>
    <t xml:space="preserve">player/chapter_1/c1_s4_p1_l5.mp3</t>
  </si>
  <si>
    <t xml:space="preserve">So who does?</t>
  </si>
  <si>
    <t xml:space="preserve">FRUSTRATED — pragmatic, wants the next step, not the bad news</t>
  </si>
  <si>
    <t xml:space="preserve">Knuckle: "This isn't chassis. This is interface... I don't stock interface. Never have."</t>
  </si>
  <si>
    <t xml:space="preserve">player/chapter_1/c1_s4_p1_l9.mp3</t>
  </si>
  <si>
    <t xml:space="preserve">2. Repair</t>
  </si>
  <si>
    <t xml:space="preserve">Patch says hi. Sort of.</t>
  </si>
  <si>
    <t xml:space="preserve">DRY — wry deadpan, matching Patch's own blunt personality</t>
  </si>
  <si>
    <t xml:space="preserve">Narrator: Knuckle holds a diagnostic arm out, palm up, waiting, without asking how it went.</t>
  </si>
  <si>
    <t xml:space="preserve">player/chapter_1/c1_s4_p2_l2.mp3</t>
  </si>
  <si>
    <t xml:space="preserve">That's it?</t>
  </si>
  <si>
    <t xml:space="preserve">SURPRISED — relieved but skeptical it was that easy</t>
  </si>
  <si>
    <t xml:space="preserve">Narrator: a cold pressure behind the player's ear, then the readout flips from red to green.</t>
  </si>
  <si>
    <t xml:space="preserve">player/chapter_1/c1_s4_p2_l7.mp3</t>
  </si>
  <si>
    <t xml:space="preserve">3. Still Live</t>
  </si>
  <si>
    <t xml:space="preserve">...Yeah. Good call. Thanks, Knuckle.</t>
  </si>
  <si>
    <t xml:space="preserve">QUIET GRATITUDE — subdued, a little vulnerable, genuine</t>
  </si>
  <si>
    <t xml:space="preserve">Knuckle (as "doc"): "Don't know what that means. Not gonna pretend I do. Just didn't feel right sitting on it."</t>
  </si>
  <si>
    <t xml:space="preserve">player/chapter_1/c1_s4_p3_l5.mp3</t>
  </si>
  <si>
    <t xml:space="preserve">Quest 5: The Pickup — Patch</t>
  </si>
  <si>
    <t xml:space="preserve">1. Still Live</t>
  </si>
  <si>
    <t xml:space="preserve">It's just the part. I'm kind of in a hurry.</t>
  </si>
  <si>
    <t xml:space="preserve">DEFLECTING — rushed, avoiding a deeper conversation</t>
  </si>
  <si>
    <t xml:space="preserve">Patch: "Knuckle called ahead. Said 'dampener, not a consult'..."</t>
  </si>
  <si>
    <t xml:space="preserve">player/chapter_1/c1_s5_p1_l4.mp3</t>
  </si>
  <si>
    <t xml:space="preserve">What?</t>
  </si>
  <si>
    <t xml:space="preserve">ALARMED — wary, bracing for bad news off a noncommittal reaction</t>
  </si>
  <si>
    <t xml:space="preserve">Patch, reading a scan: "Huh."</t>
  </si>
  <si>
    <t xml:space="preserve">player/chapter_1/c1_s5_p1_l8.mp3</t>
  </si>
  <si>
    <t xml:space="preserve">Player VO Line Count — Prologue + Chapter 1</t>
  </si>
  <si>
    <t xml:space="preserve">Section</t>
  </si>
  <si>
    <t xml:space="preserve">Total</t>
  </si>
  <si>
    <t xml:space="preserve">Male takes recorded:</t>
  </si>
  <si>
    <t xml:space="preserve">Female takes recorded:</t>
  </si>
  <si>
    <t xml:space="preserve">Mark Male Take / Female Take columns with "Y" on the Player VO Lines tab as you record each pass.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</si>
</sst>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2F2F"/>
        <bgColor rgb="FF333300"/>
      </patternFill>
    </fill>
    <fill>
      <patternFill patternType="solid">
        <fgColor rgb="FFFFF2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7" min="7" style="0" width="40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1" min="10" style="0" width="11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5.0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/>
      <c r="K2" s="2"/>
    </row>
    <row r="3" customFormat="false" ht="23.85" hidden="false" customHeight="false" outlineLevel="0" collapsed="false">
      <c r="A3" s="2" t="n">
        <v>2</v>
      </c>
      <c r="B3" s="2" t="s">
        <v>11</v>
      </c>
      <c r="C3" s="2" t="s">
        <v>12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/>
      <c r="K3" s="2"/>
    </row>
    <row r="4" customFormat="false" ht="35.05" hidden="false" customHeight="false" outlineLevel="0" collapsed="false">
      <c r="A4" s="2" t="n">
        <v>3</v>
      </c>
      <c r="B4" s="2" t="s">
        <v>11</v>
      </c>
      <c r="C4" s="2" t="s">
        <v>12</v>
      </c>
      <c r="D4" s="2" t="s">
        <v>25</v>
      </c>
      <c r="E4" s="2" t="s">
        <v>14</v>
      </c>
      <c r="F4" s="2" t="s">
        <v>26</v>
      </c>
      <c r="G4" s="2" t="s">
        <v>27</v>
      </c>
      <c r="H4" s="2" t="s">
        <v>28</v>
      </c>
      <c r="I4" s="2" t="s">
        <v>29</v>
      </c>
      <c r="J4" s="2"/>
      <c r="K4" s="2"/>
    </row>
    <row r="5" customFormat="false" ht="23.85" hidden="false" customHeight="false" outlineLevel="0" collapsed="false">
      <c r="A5" s="2" t="n">
        <v>4</v>
      </c>
      <c r="B5" s="2" t="s">
        <v>11</v>
      </c>
      <c r="C5" s="2" t="s">
        <v>30</v>
      </c>
      <c r="D5" s="2" t="s">
        <v>31</v>
      </c>
      <c r="E5" s="2" t="s">
        <v>14</v>
      </c>
      <c r="F5" s="2" t="s">
        <v>32</v>
      </c>
      <c r="G5" s="2" t="s">
        <v>33</v>
      </c>
      <c r="H5" s="2" t="s">
        <v>34</v>
      </c>
      <c r="I5" s="2" t="s">
        <v>29</v>
      </c>
      <c r="J5" s="2"/>
      <c r="K5" s="2"/>
    </row>
    <row r="6" customFormat="false" ht="23.85" hidden="false" customHeight="false" outlineLevel="0" collapsed="false">
      <c r="A6" s="2" t="n">
        <v>5</v>
      </c>
      <c r="B6" s="2" t="s">
        <v>11</v>
      </c>
      <c r="C6" s="2" t="s">
        <v>30</v>
      </c>
      <c r="D6" s="2" t="s">
        <v>35</v>
      </c>
      <c r="E6" s="2" t="s">
        <v>20</v>
      </c>
      <c r="F6" s="2" t="s">
        <v>36</v>
      </c>
      <c r="G6" s="2" t="s">
        <v>37</v>
      </c>
      <c r="H6" s="2" t="s">
        <v>38</v>
      </c>
      <c r="I6" s="2" t="s">
        <v>24</v>
      </c>
      <c r="J6" s="2"/>
      <c r="K6" s="2"/>
    </row>
    <row r="7" customFormat="false" ht="23.85" hidden="false" customHeight="false" outlineLevel="0" collapsed="false">
      <c r="A7" s="2" t="n">
        <v>6</v>
      </c>
      <c r="B7" s="2" t="s">
        <v>11</v>
      </c>
      <c r="C7" s="2" t="s">
        <v>30</v>
      </c>
      <c r="D7" s="2" t="s">
        <v>25</v>
      </c>
      <c r="E7" s="2" t="s">
        <v>14</v>
      </c>
      <c r="F7" s="2" t="s">
        <v>39</v>
      </c>
      <c r="G7" s="2" t="s">
        <v>40</v>
      </c>
      <c r="H7" s="2" t="s">
        <v>41</v>
      </c>
      <c r="I7" s="2" t="s">
        <v>29</v>
      </c>
      <c r="J7" s="2"/>
      <c r="K7" s="2"/>
    </row>
    <row r="8" customFormat="false" ht="23.85" hidden="false" customHeight="false" outlineLevel="0" collapsed="false">
      <c r="A8" s="2" t="n">
        <v>7</v>
      </c>
      <c r="B8" s="2" t="s">
        <v>11</v>
      </c>
      <c r="C8" s="2" t="s">
        <v>42</v>
      </c>
      <c r="D8" s="2" t="s">
        <v>43</v>
      </c>
      <c r="E8" s="2" t="s">
        <v>14</v>
      </c>
      <c r="F8" s="2" t="s">
        <v>44</v>
      </c>
      <c r="G8" s="2" t="s">
        <v>45</v>
      </c>
      <c r="H8" s="2" t="s">
        <v>46</v>
      </c>
      <c r="I8" s="2" t="s">
        <v>29</v>
      </c>
      <c r="J8" s="2"/>
      <c r="K8" s="2"/>
    </row>
    <row r="9" customFormat="false" ht="23.85" hidden="false" customHeight="false" outlineLevel="0" collapsed="false">
      <c r="A9" s="2" t="n">
        <v>8</v>
      </c>
      <c r="B9" s="2" t="s">
        <v>11</v>
      </c>
      <c r="C9" s="2" t="s">
        <v>42</v>
      </c>
      <c r="D9" s="2" t="s">
        <v>43</v>
      </c>
      <c r="E9" s="2" t="s">
        <v>14</v>
      </c>
      <c r="F9" s="2" t="s">
        <v>47</v>
      </c>
      <c r="G9" s="2" t="s">
        <v>48</v>
      </c>
      <c r="H9" s="2" t="s">
        <v>49</v>
      </c>
      <c r="I9" s="2" t="s">
        <v>29</v>
      </c>
      <c r="J9" s="2"/>
      <c r="K9" s="2"/>
    </row>
    <row r="10" customFormat="false" ht="23.85" hidden="false" customHeight="false" outlineLevel="0" collapsed="false">
      <c r="A10" s="2" t="n">
        <v>9</v>
      </c>
      <c r="B10" s="2" t="s">
        <v>11</v>
      </c>
      <c r="C10" s="2" t="s">
        <v>42</v>
      </c>
      <c r="D10" s="2" t="s">
        <v>50</v>
      </c>
      <c r="E10" s="2" t="s">
        <v>20</v>
      </c>
      <c r="F10" s="2" t="s">
        <v>51</v>
      </c>
      <c r="G10" s="2" t="s">
        <v>52</v>
      </c>
      <c r="H10" s="2" t="s">
        <v>53</v>
      </c>
      <c r="I10" s="2" t="s">
        <v>24</v>
      </c>
      <c r="J10" s="2"/>
      <c r="K10" s="2"/>
    </row>
    <row r="11" customFormat="false" ht="23.85" hidden="false" customHeight="false" outlineLevel="0" collapsed="false">
      <c r="A11" s="2" t="n">
        <v>10</v>
      </c>
      <c r="B11" s="2" t="s">
        <v>11</v>
      </c>
      <c r="C11" s="2" t="s">
        <v>42</v>
      </c>
      <c r="D11" s="2" t="s">
        <v>25</v>
      </c>
      <c r="E11" s="2" t="s">
        <v>14</v>
      </c>
      <c r="F11" s="2" t="s">
        <v>54</v>
      </c>
      <c r="G11" s="2" t="s">
        <v>55</v>
      </c>
      <c r="H11" s="2" t="s">
        <v>56</v>
      </c>
      <c r="I11" s="2" t="s">
        <v>29</v>
      </c>
      <c r="J11" s="2"/>
      <c r="K11" s="2"/>
    </row>
    <row r="12" customFormat="false" ht="23.85" hidden="false" customHeight="false" outlineLevel="0" collapsed="false">
      <c r="A12" s="2" t="n">
        <v>11</v>
      </c>
      <c r="B12" s="2" t="s">
        <v>11</v>
      </c>
      <c r="C12" s="2" t="s">
        <v>42</v>
      </c>
      <c r="D12" s="2" t="s">
        <v>25</v>
      </c>
      <c r="E12" s="2" t="s">
        <v>14</v>
      </c>
      <c r="F12" s="2" t="s">
        <v>57</v>
      </c>
      <c r="G12" s="2" t="s">
        <v>58</v>
      </c>
      <c r="H12" s="2" t="s">
        <v>59</v>
      </c>
      <c r="I12" s="2" t="s">
        <v>29</v>
      </c>
      <c r="J12" s="2"/>
      <c r="K12" s="2"/>
    </row>
    <row r="13" customFormat="false" ht="23.85" hidden="false" customHeight="false" outlineLevel="0" collapsed="false">
      <c r="A13" s="2" t="n">
        <v>12</v>
      </c>
      <c r="B13" s="2" t="s">
        <v>11</v>
      </c>
      <c r="C13" s="2" t="s">
        <v>60</v>
      </c>
      <c r="D13" s="2" t="s">
        <v>61</v>
      </c>
      <c r="E13" s="2" t="s">
        <v>14</v>
      </c>
      <c r="F13" s="2" t="s">
        <v>62</v>
      </c>
      <c r="G13" s="2" t="s">
        <v>63</v>
      </c>
      <c r="H13" s="2" t="s">
        <v>64</v>
      </c>
      <c r="I13" s="2" t="s">
        <v>29</v>
      </c>
      <c r="J13" s="2"/>
      <c r="K13" s="2"/>
    </row>
    <row r="14" customFormat="false" ht="23.85" hidden="false" customHeight="false" outlineLevel="0" collapsed="false">
      <c r="A14" s="2" t="n">
        <v>13</v>
      </c>
      <c r="B14" s="2" t="s">
        <v>11</v>
      </c>
      <c r="C14" s="2" t="s">
        <v>60</v>
      </c>
      <c r="D14" s="2" t="s">
        <v>61</v>
      </c>
      <c r="E14" s="2" t="s">
        <v>14</v>
      </c>
      <c r="F14" s="2" t="s">
        <v>65</v>
      </c>
      <c r="G14" s="2" t="s">
        <v>66</v>
      </c>
      <c r="H14" s="2" t="s">
        <v>67</v>
      </c>
      <c r="I14" s="2" t="s">
        <v>29</v>
      </c>
      <c r="J14" s="2"/>
      <c r="K14" s="2"/>
    </row>
    <row r="15" customFormat="false" ht="23.85" hidden="false" customHeight="false" outlineLevel="0" collapsed="false">
      <c r="A15" s="2" t="n">
        <v>14</v>
      </c>
      <c r="B15" s="2" t="s">
        <v>11</v>
      </c>
      <c r="C15" s="2" t="s">
        <v>60</v>
      </c>
      <c r="D15" s="2" t="s">
        <v>61</v>
      </c>
      <c r="E15" s="2" t="s">
        <v>14</v>
      </c>
      <c r="F15" s="2" t="s">
        <v>68</v>
      </c>
      <c r="G15" s="2" t="s">
        <v>69</v>
      </c>
      <c r="H15" s="2" t="s">
        <v>70</v>
      </c>
      <c r="I15" s="2" t="s">
        <v>29</v>
      </c>
      <c r="J15" s="2"/>
      <c r="K15" s="2"/>
    </row>
    <row r="16" customFormat="false" ht="23.85" hidden="false" customHeight="false" outlineLevel="0" collapsed="false">
      <c r="A16" s="2" t="n">
        <v>15</v>
      </c>
      <c r="B16" s="2" t="s">
        <v>11</v>
      </c>
      <c r="C16" s="2" t="s">
        <v>60</v>
      </c>
      <c r="D16" s="2" t="s">
        <v>71</v>
      </c>
      <c r="E16" s="2" t="s">
        <v>20</v>
      </c>
      <c r="F16" s="2" t="s">
        <v>72</v>
      </c>
      <c r="G16" s="2" t="s">
        <v>73</v>
      </c>
      <c r="H16" s="2" t="s">
        <v>74</v>
      </c>
      <c r="I16" s="2" t="s">
        <v>24</v>
      </c>
      <c r="J16" s="2"/>
      <c r="K16" s="2"/>
    </row>
    <row r="17" customFormat="false" ht="23.85" hidden="false" customHeight="false" outlineLevel="0" collapsed="false">
      <c r="A17" s="2" t="n">
        <v>16</v>
      </c>
      <c r="B17" s="2" t="s">
        <v>11</v>
      </c>
      <c r="C17" s="2" t="s">
        <v>60</v>
      </c>
      <c r="D17" s="2" t="s">
        <v>25</v>
      </c>
      <c r="E17" s="2" t="s">
        <v>14</v>
      </c>
      <c r="F17" s="2" t="s">
        <v>75</v>
      </c>
      <c r="G17" s="2" t="s">
        <v>76</v>
      </c>
      <c r="H17" s="2" t="s">
        <v>77</v>
      </c>
      <c r="I17" s="2" t="s">
        <v>29</v>
      </c>
      <c r="J17" s="2"/>
      <c r="K17" s="2"/>
    </row>
    <row r="18" customFormat="false" ht="23.85" hidden="false" customHeight="false" outlineLevel="0" collapsed="false">
      <c r="A18" s="2" t="n">
        <v>17</v>
      </c>
      <c r="B18" s="2" t="s">
        <v>11</v>
      </c>
      <c r="C18" s="2" t="s">
        <v>60</v>
      </c>
      <c r="D18" s="2" t="s">
        <v>25</v>
      </c>
      <c r="E18" s="2" t="s">
        <v>14</v>
      </c>
      <c r="F18" s="2" t="s">
        <v>78</v>
      </c>
      <c r="G18" s="2" t="s">
        <v>79</v>
      </c>
      <c r="H18" s="2" t="s">
        <v>80</v>
      </c>
      <c r="I18" s="2" t="s">
        <v>29</v>
      </c>
      <c r="J18" s="2"/>
      <c r="K18" s="2"/>
    </row>
    <row r="19" customFormat="false" ht="23.85" hidden="false" customHeight="false" outlineLevel="0" collapsed="false">
      <c r="A19" s="2" t="n">
        <v>18</v>
      </c>
      <c r="B19" s="2" t="s">
        <v>11</v>
      </c>
      <c r="C19" s="2" t="s">
        <v>60</v>
      </c>
      <c r="D19" s="2" t="s">
        <v>25</v>
      </c>
      <c r="E19" s="2" t="s">
        <v>14</v>
      </c>
      <c r="F19" s="2" t="s">
        <v>81</v>
      </c>
      <c r="G19" s="2" t="s">
        <v>82</v>
      </c>
      <c r="H19" s="2" t="s">
        <v>83</v>
      </c>
      <c r="I19" s="2" t="s">
        <v>29</v>
      </c>
      <c r="J19" s="2"/>
      <c r="K19" s="2"/>
    </row>
    <row r="20" customFormat="false" ht="23.85" hidden="false" customHeight="false" outlineLevel="0" collapsed="false">
      <c r="A20" s="2" t="n">
        <v>19</v>
      </c>
      <c r="B20" s="2" t="s">
        <v>11</v>
      </c>
      <c r="C20" s="2" t="s">
        <v>60</v>
      </c>
      <c r="D20" s="2" t="s">
        <v>25</v>
      </c>
      <c r="E20" s="2" t="s">
        <v>14</v>
      </c>
      <c r="F20" s="2" t="s">
        <v>84</v>
      </c>
      <c r="G20" s="2" t="s">
        <v>85</v>
      </c>
      <c r="H20" s="2" t="s">
        <v>86</v>
      </c>
      <c r="I20" s="2" t="s">
        <v>29</v>
      </c>
      <c r="J20" s="2"/>
      <c r="K20" s="2"/>
    </row>
    <row r="21" customFormat="false" ht="23.85" hidden="false" customHeight="false" outlineLevel="0" collapsed="false">
      <c r="A21" s="2" t="n">
        <v>20</v>
      </c>
      <c r="B21" s="2" t="s">
        <v>11</v>
      </c>
      <c r="C21" s="2" t="s">
        <v>60</v>
      </c>
      <c r="D21" s="2" t="s">
        <v>25</v>
      </c>
      <c r="E21" s="2" t="s">
        <v>14</v>
      </c>
      <c r="F21" s="2" t="s">
        <v>87</v>
      </c>
      <c r="G21" s="2" t="s">
        <v>88</v>
      </c>
      <c r="H21" s="2" t="s">
        <v>89</v>
      </c>
      <c r="I21" s="2" t="s">
        <v>29</v>
      </c>
      <c r="J21" s="2"/>
      <c r="K21" s="2"/>
    </row>
    <row r="22" customFormat="false" ht="23.85" hidden="false" customHeight="false" outlineLevel="0" collapsed="false">
      <c r="A22" s="2" t="n">
        <v>21</v>
      </c>
      <c r="B22" s="2" t="s">
        <v>11</v>
      </c>
      <c r="C22" s="2" t="s">
        <v>60</v>
      </c>
      <c r="D22" s="2" t="s">
        <v>25</v>
      </c>
      <c r="E22" s="2" t="s">
        <v>14</v>
      </c>
      <c r="F22" s="2" t="s">
        <v>90</v>
      </c>
      <c r="G22" s="2" t="s">
        <v>91</v>
      </c>
      <c r="H22" s="2" t="s">
        <v>92</v>
      </c>
      <c r="I22" s="2" t="s">
        <v>29</v>
      </c>
      <c r="J22" s="2"/>
      <c r="K22" s="2"/>
    </row>
    <row r="23" customFormat="false" ht="23.85" hidden="false" customHeight="false" outlineLevel="0" collapsed="false">
      <c r="A23" s="2" t="n">
        <v>22</v>
      </c>
      <c r="B23" s="2" t="s">
        <v>11</v>
      </c>
      <c r="C23" s="2" t="s">
        <v>60</v>
      </c>
      <c r="D23" s="2" t="s">
        <v>25</v>
      </c>
      <c r="E23" s="2" t="s">
        <v>14</v>
      </c>
      <c r="F23" s="2" t="s">
        <v>93</v>
      </c>
      <c r="G23" s="2" t="s">
        <v>94</v>
      </c>
      <c r="H23" s="2" t="s">
        <v>95</v>
      </c>
      <c r="I23" s="2" t="s">
        <v>29</v>
      </c>
      <c r="J23" s="2"/>
      <c r="K23" s="2"/>
    </row>
    <row r="24" customFormat="false" ht="23.85" hidden="false" customHeight="false" outlineLevel="0" collapsed="false">
      <c r="A24" s="2" t="n">
        <v>23</v>
      </c>
      <c r="B24" s="2" t="s">
        <v>11</v>
      </c>
      <c r="C24" s="2" t="s">
        <v>96</v>
      </c>
      <c r="D24" s="2" t="s">
        <v>97</v>
      </c>
      <c r="E24" s="2" t="s">
        <v>14</v>
      </c>
      <c r="F24" s="2" t="s">
        <v>98</v>
      </c>
      <c r="G24" s="2" t="s">
        <v>99</v>
      </c>
      <c r="H24" s="2" t="s">
        <v>100</v>
      </c>
      <c r="I24" s="2" t="s">
        <v>29</v>
      </c>
      <c r="J24" s="2"/>
      <c r="K24" s="2"/>
    </row>
    <row r="25" customFormat="false" ht="23.85" hidden="false" customHeight="false" outlineLevel="0" collapsed="false">
      <c r="A25" s="2" t="n">
        <v>24</v>
      </c>
      <c r="B25" s="2" t="s">
        <v>11</v>
      </c>
      <c r="C25" s="2" t="s">
        <v>96</v>
      </c>
      <c r="D25" s="2" t="s">
        <v>101</v>
      </c>
      <c r="E25" s="2" t="s">
        <v>20</v>
      </c>
      <c r="F25" s="2" t="s">
        <v>102</v>
      </c>
      <c r="G25" s="2" t="s">
        <v>103</v>
      </c>
      <c r="H25" s="2" t="s">
        <v>104</v>
      </c>
      <c r="I25" s="2" t="s">
        <v>24</v>
      </c>
      <c r="J25" s="2"/>
      <c r="K25" s="2"/>
    </row>
    <row r="26" customFormat="false" ht="23.85" hidden="false" customHeight="false" outlineLevel="0" collapsed="false">
      <c r="A26" s="2" t="n">
        <v>25</v>
      </c>
      <c r="B26" s="2" t="s">
        <v>11</v>
      </c>
      <c r="C26" s="2" t="s">
        <v>96</v>
      </c>
      <c r="D26" s="2" t="s">
        <v>25</v>
      </c>
      <c r="E26" s="2" t="s">
        <v>14</v>
      </c>
      <c r="F26" s="2" t="s">
        <v>105</v>
      </c>
      <c r="G26" s="2" t="s">
        <v>106</v>
      </c>
      <c r="H26" s="2" t="s">
        <v>107</v>
      </c>
      <c r="I26" s="2" t="s">
        <v>29</v>
      </c>
      <c r="J26" s="2"/>
      <c r="K26" s="2"/>
    </row>
    <row r="27" customFormat="false" ht="23.85" hidden="false" customHeight="false" outlineLevel="0" collapsed="false">
      <c r="A27" s="2" t="n">
        <v>26</v>
      </c>
      <c r="B27" s="2" t="s">
        <v>11</v>
      </c>
      <c r="C27" s="2" t="s">
        <v>96</v>
      </c>
      <c r="D27" s="2" t="s">
        <v>25</v>
      </c>
      <c r="E27" s="2" t="s">
        <v>14</v>
      </c>
      <c r="F27" s="2" t="s">
        <v>108</v>
      </c>
      <c r="G27" s="2" t="s">
        <v>109</v>
      </c>
      <c r="H27" s="2" t="s">
        <v>110</v>
      </c>
      <c r="I27" s="2" t="s">
        <v>29</v>
      </c>
      <c r="J27" s="2"/>
      <c r="K27" s="2"/>
    </row>
    <row r="28" customFormat="false" ht="23.85" hidden="false" customHeight="false" outlineLevel="0" collapsed="false">
      <c r="A28" s="2" t="n">
        <v>27</v>
      </c>
      <c r="B28" s="2" t="s">
        <v>11</v>
      </c>
      <c r="C28" s="2" t="s">
        <v>96</v>
      </c>
      <c r="D28" s="2" t="s">
        <v>25</v>
      </c>
      <c r="E28" s="2" t="s">
        <v>14</v>
      </c>
      <c r="F28" s="2" t="s">
        <v>111</v>
      </c>
      <c r="G28" s="2" t="s">
        <v>112</v>
      </c>
      <c r="H28" s="2" t="s">
        <v>113</v>
      </c>
      <c r="I28" s="2" t="s">
        <v>29</v>
      </c>
      <c r="J28" s="2"/>
      <c r="K28" s="2"/>
    </row>
    <row r="29" customFormat="false" ht="23.85" hidden="false" customHeight="false" outlineLevel="0" collapsed="false">
      <c r="A29" s="2" t="n">
        <v>28</v>
      </c>
      <c r="B29" s="2" t="s">
        <v>11</v>
      </c>
      <c r="C29" s="2" t="s">
        <v>96</v>
      </c>
      <c r="D29" s="2" t="s">
        <v>25</v>
      </c>
      <c r="E29" s="2" t="s">
        <v>14</v>
      </c>
      <c r="F29" s="2" t="s">
        <v>84</v>
      </c>
      <c r="G29" s="2" t="s">
        <v>114</v>
      </c>
      <c r="H29" s="2" t="s">
        <v>115</v>
      </c>
      <c r="I29" s="2" t="s">
        <v>29</v>
      </c>
      <c r="J29" s="2"/>
      <c r="K29" s="2"/>
    </row>
    <row r="30" customFormat="false" ht="23.85" hidden="false" customHeight="false" outlineLevel="0" collapsed="false">
      <c r="A30" s="2" t="n">
        <v>29</v>
      </c>
      <c r="B30" s="2" t="s">
        <v>11</v>
      </c>
      <c r="C30" s="2" t="s">
        <v>96</v>
      </c>
      <c r="D30" s="2" t="s">
        <v>25</v>
      </c>
      <c r="E30" s="2" t="s">
        <v>14</v>
      </c>
      <c r="F30" s="2" t="s">
        <v>116</v>
      </c>
      <c r="G30" s="2" t="s">
        <v>117</v>
      </c>
      <c r="H30" s="2" t="s">
        <v>118</v>
      </c>
      <c r="I30" s="2" t="s">
        <v>29</v>
      </c>
      <c r="J30" s="2"/>
      <c r="K30" s="2"/>
    </row>
    <row r="31" customFormat="false" ht="23.85" hidden="false" customHeight="false" outlineLevel="0" collapsed="false">
      <c r="A31" s="2" t="n">
        <v>30</v>
      </c>
      <c r="B31" s="2" t="s">
        <v>11</v>
      </c>
      <c r="C31" s="2" t="s">
        <v>96</v>
      </c>
      <c r="D31" s="2" t="s">
        <v>25</v>
      </c>
      <c r="E31" s="2" t="s">
        <v>14</v>
      </c>
      <c r="F31" s="2" t="s">
        <v>119</v>
      </c>
      <c r="G31" s="2" t="s">
        <v>120</v>
      </c>
      <c r="H31" s="2" t="s">
        <v>121</v>
      </c>
      <c r="I31" s="2" t="s">
        <v>29</v>
      </c>
      <c r="J31" s="2"/>
      <c r="K31" s="2"/>
    </row>
    <row r="32" customFormat="false" ht="35.05" hidden="false" customHeight="false" outlineLevel="0" collapsed="false">
      <c r="A32" s="2" t="n">
        <v>31</v>
      </c>
      <c r="B32" s="2" t="s">
        <v>11</v>
      </c>
      <c r="C32" s="2" t="s">
        <v>96</v>
      </c>
      <c r="D32" s="2" t="s">
        <v>25</v>
      </c>
      <c r="E32" s="2" t="s">
        <v>14</v>
      </c>
      <c r="F32" s="2" t="s">
        <v>122</v>
      </c>
      <c r="G32" s="2" t="s">
        <v>123</v>
      </c>
      <c r="H32" s="2" t="s">
        <v>124</v>
      </c>
      <c r="I32" s="2" t="s">
        <v>29</v>
      </c>
      <c r="J32" s="2"/>
      <c r="K32" s="2"/>
    </row>
    <row r="33" customFormat="false" ht="35.05" hidden="false" customHeight="false" outlineLevel="0" collapsed="false">
      <c r="A33" s="3" t="n">
        <v>32</v>
      </c>
      <c r="B33" s="3" t="s">
        <v>125</v>
      </c>
      <c r="C33" s="3" t="s">
        <v>126</v>
      </c>
      <c r="D33" s="3" t="s">
        <v>127</v>
      </c>
      <c r="E33" s="3" t="s">
        <v>128</v>
      </c>
      <c r="F33" s="3" t="s">
        <v>129</v>
      </c>
      <c r="G33" s="3" t="s">
        <v>130</v>
      </c>
      <c r="H33" s="3" t="s">
        <v>131</v>
      </c>
      <c r="I33" s="3" t="s">
        <v>132</v>
      </c>
      <c r="J33" s="3"/>
      <c r="K33" s="3"/>
    </row>
    <row r="34" customFormat="false" ht="23.85" hidden="false" customHeight="false" outlineLevel="0" collapsed="false">
      <c r="A34" s="3" t="n">
        <v>33</v>
      </c>
      <c r="B34" s="3" t="s">
        <v>125</v>
      </c>
      <c r="C34" s="3" t="s">
        <v>126</v>
      </c>
      <c r="D34" s="3" t="s">
        <v>127</v>
      </c>
      <c r="E34" s="3" t="s">
        <v>128</v>
      </c>
      <c r="F34" s="3" t="s">
        <v>133</v>
      </c>
      <c r="G34" s="3" t="s">
        <v>134</v>
      </c>
      <c r="H34" s="3" t="s">
        <v>135</v>
      </c>
      <c r="I34" s="3" t="s">
        <v>136</v>
      </c>
      <c r="J34" s="3"/>
      <c r="K34" s="3"/>
    </row>
    <row r="35" customFormat="false" ht="35.05" hidden="false" customHeight="false" outlineLevel="0" collapsed="false">
      <c r="A35" s="3" t="n">
        <v>34</v>
      </c>
      <c r="B35" s="3" t="s">
        <v>125</v>
      </c>
      <c r="C35" s="3" t="s">
        <v>126</v>
      </c>
      <c r="D35" s="3" t="s">
        <v>137</v>
      </c>
      <c r="E35" s="3" t="s">
        <v>20</v>
      </c>
      <c r="F35" s="3" t="s">
        <v>138</v>
      </c>
      <c r="G35" s="3" t="s">
        <v>139</v>
      </c>
      <c r="H35" s="3" t="s">
        <v>140</v>
      </c>
      <c r="I35" s="3" t="s">
        <v>141</v>
      </c>
      <c r="J35" s="3"/>
      <c r="K35" s="3"/>
    </row>
    <row r="36" customFormat="false" ht="23.85" hidden="false" customHeight="false" outlineLevel="0" collapsed="false">
      <c r="A36" s="3" t="n">
        <v>35</v>
      </c>
      <c r="B36" s="3" t="s">
        <v>125</v>
      </c>
      <c r="C36" s="3" t="s">
        <v>126</v>
      </c>
      <c r="D36" s="3" t="s">
        <v>25</v>
      </c>
      <c r="E36" s="3" t="s">
        <v>128</v>
      </c>
      <c r="F36" s="3" t="s">
        <v>142</v>
      </c>
      <c r="G36" s="3" t="s">
        <v>143</v>
      </c>
      <c r="H36" s="3" t="s">
        <v>144</v>
      </c>
      <c r="I36" s="3" t="s">
        <v>145</v>
      </c>
      <c r="J36" s="3"/>
      <c r="K36" s="3"/>
    </row>
    <row r="37" customFormat="false" ht="35.05" hidden="false" customHeight="false" outlineLevel="0" collapsed="false">
      <c r="A37" s="3" t="n">
        <v>36</v>
      </c>
      <c r="B37" s="3" t="s">
        <v>125</v>
      </c>
      <c r="C37" s="3" t="s">
        <v>126</v>
      </c>
      <c r="D37" s="3" t="s">
        <v>25</v>
      </c>
      <c r="E37" s="3" t="s">
        <v>128</v>
      </c>
      <c r="F37" s="3" t="s">
        <v>146</v>
      </c>
      <c r="G37" s="3" t="s">
        <v>147</v>
      </c>
      <c r="H37" s="3" t="s">
        <v>148</v>
      </c>
      <c r="I37" s="3" t="s">
        <v>149</v>
      </c>
      <c r="J37" s="3"/>
      <c r="K37" s="3"/>
    </row>
    <row r="38" customFormat="false" ht="23.85" hidden="false" customHeight="false" outlineLevel="0" collapsed="false">
      <c r="A38" s="3" t="n">
        <v>37</v>
      </c>
      <c r="B38" s="3" t="s">
        <v>125</v>
      </c>
      <c r="C38" s="3" t="s">
        <v>150</v>
      </c>
      <c r="D38" s="3" t="s">
        <v>151</v>
      </c>
      <c r="E38" s="3" t="s">
        <v>128</v>
      </c>
      <c r="F38" s="3" t="s">
        <v>152</v>
      </c>
      <c r="G38" s="3" t="s">
        <v>153</v>
      </c>
      <c r="H38" s="3" t="s">
        <v>154</v>
      </c>
      <c r="I38" s="3" t="s">
        <v>155</v>
      </c>
      <c r="J38" s="3"/>
      <c r="K38" s="3"/>
    </row>
    <row r="39" customFormat="false" ht="23.85" hidden="false" customHeight="false" outlineLevel="0" collapsed="false">
      <c r="A39" s="3" t="n">
        <v>38</v>
      </c>
      <c r="B39" s="3" t="s">
        <v>125</v>
      </c>
      <c r="C39" s="3" t="s">
        <v>150</v>
      </c>
      <c r="D39" s="3" t="s">
        <v>151</v>
      </c>
      <c r="E39" s="3" t="s">
        <v>128</v>
      </c>
      <c r="F39" s="3" t="s">
        <v>156</v>
      </c>
      <c r="G39" s="3" t="s">
        <v>157</v>
      </c>
      <c r="H39" s="3" t="s">
        <v>158</v>
      </c>
      <c r="I39" s="3" t="s">
        <v>159</v>
      </c>
      <c r="J39" s="3"/>
      <c r="K39" s="3"/>
    </row>
    <row r="40" customFormat="false" ht="23.85" hidden="false" customHeight="false" outlineLevel="0" collapsed="false">
      <c r="A40" s="3" t="n">
        <v>39</v>
      </c>
      <c r="B40" s="3" t="s">
        <v>125</v>
      </c>
      <c r="C40" s="3" t="s">
        <v>150</v>
      </c>
      <c r="D40" s="3" t="s">
        <v>151</v>
      </c>
      <c r="E40" s="3" t="s">
        <v>128</v>
      </c>
      <c r="F40" s="3" t="s">
        <v>160</v>
      </c>
      <c r="G40" s="3" t="s">
        <v>161</v>
      </c>
      <c r="H40" s="3" t="s">
        <v>162</v>
      </c>
      <c r="I40" s="3" t="s">
        <v>163</v>
      </c>
      <c r="J40" s="3"/>
      <c r="K40" s="3"/>
    </row>
    <row r="41" customFormat="false" ht="35.05" hidden="false" customHeight="false" outlineLevel="0" collapsed="false">
      <c r="A41" s="3" t="n">
        <v>40</v>
      </c>
      <c r="B41" s="3" t="s">
        <v>125</v>
      </c>
      <c r="C41" s="3" t="s">
        <v>150</v>
      </c>
      <c r="D41" s="3" t="s">
        <v>164</v>
      </c>
      <c r="E41" s="3" t="s">
        <v>20</v>
      </c>
      <c r="F41" s="3" t="s">
        <v>165</v>
      </c>
      <c r="G41" s="3" t="s">
        <v>166</v>
      </c>
      <c r="H41" s="3" t="s">
        <v>167</v>
      </c>
      <c r="I41" s="3" t="s">
        <v>141</v>
      </c>
      <c r="J41" s="3"/>
      <c r="K41" s="3"/>
    </row>
    <row r="42" customFormat="false" ht="23.85" hidden="false" customHeight="false" outlineLevel="0" collapsed="false">
      <c r="A42" s="3" t="n">
        <v>41</v>
      </c>
      <c r="B42" s="3" t="s">
        <v>125</v>
      </c>
      <c r="C42" s="3" t="s">
        <v>150</v>
      </c>
      <c r="D42" s="3" t="s">
        <v>25</v>
      </c>
      <c r="E42" s="3" t="s">
        <v>128</v>
      </c>
      <c r="F42" s="3" t="s">
        <v>168</v>
      </c>
      <c r="G42" s="3" t="s">
        <v>169</v>
      </c>
      <c r="H42" s="3" t="s">
        <v>170</v>
      </c>
      <c r="I42" s="3" t="s">
        <v>171</v>
      </c>
      <c r="J42" s="3"/>
      <c r="K42" s="3"/>
    </row>
    <row r="43" customFormat="false" ht="23.85" hidden="false" customHeight="false" outlineLevel="0" collapsed="false">
      <c r="A43" s="3" t="n">
        <v>42</v>
      </c>
      <c r="B43" s="3" t="s">
        <v>125</v>
      </c>
      <c r="C43" s="3" t="s">
        <v>150</v>
      </c>
      <c r="D43" s="3" t="s">
        <v>25</v>
      </c>
      <c r="E43" s="3" t="s">
        <v>128</v>
      </c>
      <c r="F43" s="3" t="s">
        <v>172</v>
      </c>
      <c r="G43" s="3" t="s">
        <v>173</v>
      </c>
      <c r="H43" s="3" t="s">
        <v>174</v>
      </c>
      <c r="I43" s="3" t="s">
        <v>175</v>
      </c>
      <c r="J43" s="3"/>
      <c r="K43" s="3"/>
    </row>
    <row r="44" customFormat="false" ht="23.85" hidden="false" customHeight="false" outlineLevel="0" collapsed="false">
      <c r="A44" s="3" t="n">
        <v>43</v>
      </c>
      <c r="B44" s="3" t="s">
        <v>125</v>
      </c>
      <c r="C44" s="3" t="s">
        <v>150</v>
      </c>
      <c r="D44" s="3" t="s">
        <v>25</v>
      </c>
      <c r="E44" s="3" t="s">
        <v>128</v>
      </c>
      <c r="F44" s="3" t="s">
        <v>176</v>
      </c>
      <c r="G44" s="3" t="s">
        <v>177</v>
      </c>
      <c r="H44" s="3" t="s">
        <v>178</v>
      </c>
      <c r="I44" s="3" t="s">
        <v>179</v>
      </c>
      <c r="J44" s="3"/>
      <c r="K44" s="3"/>
    </row>
    <row r="45" customFormat="false" ht="23.85" hidden="false" customHeight="false" outlineLevel="0" collapsed="false">
      <c r="A45" s="3" t="n">
        <v>44</v>
      </c>
      <c r="B45" s="3" t="s">
        <v>125</v>
      </c>
      <c r="C45" s="3" t="s">
        <v>180</v>
      </c>
      <c r="D45" s="3" t="s">
        <v>181</v>
      </c>
      <c r="E45" s="3" t="s">
        <v>128</v>
      </c>
      <c r="F45" s="3" t="s">
        <v>182</v>
      </c>
      <c r="G45" s="3" t="s">
        <v>183</v>
      </c>
      <c r="H45" s="3" t="s">
        <v>184</v>
      </c>
      <c r="I45" s="3" t="s">
        <v>185</v>
      </c>
      <c r="J45" s="3"/>
      <c r="K45" s="3"/>
    </row>
    <row r="46" customFormat="false" ht="35.05" hidden="false" customHeight="false" outlineLevel="0" collapsed="false">
      <c r="A46" s="3" t="n">
        <v>45</v>
      </c>
      <c r="B46" s="3" t="s">
        <v>125</v>
      </c>
      <c r="C46" s="3" t="s">
        <v>180</v>
      </c>
      <c r="D46" s="3" t="s">
        <v>181</v>
      </c>
      <c r="E46" s="3" t="s">
        <v>128</v>
      </c>
      <c r="F46" s="3" t="s">
        <v>186</v>
      </c>
      <c r="G46" s="3" t="s">
        <v>187</v>
      </c>
      <c r="H46" s="3" t="s">
        <v>188</v>
      </c>
      <c r="I46" s="3" t="s">
        <v>189</v>
      </c>
      <c r="J46" s="3"/>
      <c r="K46" s="3"/>
    </row>
    <row r="47" customFormat="false" ht="23.85" hidden="false" customHeight="false" outlineLevel="0" collapsed="false">
      <c r="A47" s="3" t="n">
        <v>46</v>
      </c>
      <c r="B47" s="3" t="s">
        <v>125</v>
      </c>
      <c r="C47" s="3" t="s">
        <v>180</v>
      </c>
      <c r="D47" s="3" t="s">
        <v>181</v>
      </c>
      <c r="E47" s="3" t="s">
        <v>128</v>
      </c>
      <c r="F47" s="3" t="s">
        <v>190</v>
      </c>
      <c r="G47" s="3" t="s">
        <v>191</v>
      </c>
      <c r="H47" s="3" t="s">
        <v>192</v>
      </c>
      <c r="I47" s="3" t="s">
        <v>193</v>
      </c>
      <c r="J47" s="3"/>
      <c r="K47" s="3"/>
    </row>
    <row r="48" customFormat="false" ht="23.85" hidden="false" customHeight="false" outlineLevel="0" collapsed="false">
      <c r="A48" s="3" t="n">
        <v>47</v>
      </c>
      <c r="B48" s="3" t="s">
        <v>125</v>
      </c>
      <c r="C48" s="3" t="s">
        <v>180</v>
      </c>
      <c r="D48" s="3" t="s">
        <v>194</v>
      </c>
      <c r="E48" s="3" t="s">
        <v>128</v>
      </c>
      <c r="F48" s="3" t="s">
        <v>195</v>
      </c>
      <c r="G48" s="3" t="s">
        <v>196</v>
      </c>
      <c r="H48" s="3" t="s">
        <v>197</v>
      </c>
      <c r="I48" s="3" t="s">
        <v>198</v>
      </c>
      <c r="J48" s="3"/>
      <c r="K48" s="3"/>
    </row>
    <row r="49" customFormat="false" ht="23.85" hidden="false" customHeight="false" outlineLevel="0" collapsed="false">
      <c r="A49" s="3" t="n">
        <v>48</v>
      </c>
      <c r="B49" s="3" t="s">
        <v>125</v>
      </c>
      <c r="C49" s="3" t="s">
        <v>199</v>
      </c>
      <c r="D49" s="3" t="s">
        <v>200</v>
      </c>
      <c r="E49" s="3" t="s">
        <v>128</v>
      </c>
      <c r="F49" s="3" t="s">
        <v>201</v>
      </c>
      <c r="G49" s="3" t="s">
        <v>202</v>
      </c>
      <c r="H49" s="3" t="s">
        <v>203</v>
      </c>
      <c r="I49" s="3" t="s">
        <v>204</v>
      </c>
      <c r="J49" s="3"/>
      <c r="K49" s="3"/>
    </row>
    <row r="50" customFormat="false" ht="23.85" hidden="false" customHeight="false" outlineLevel="0" collapsed="false">
      <c r="A50" s="3" t="n">
        <v>49</v>
      </c>
      <c r="B50" s="3" t="s">
        <v>125</v>
      </c>
      <c r="C50" s="3" t="s">
        <v>199</v>
      </c>
      <c r="D50" s="3" t="s">
        <v>200</v>
      </c>
      <c r="E50" s="3" t="s">
        <v>128</v>
      </c>
      <c r="F50" s="3" t="s">
        <v>205</v>
      </c>
      <c r="G50" s="3" t="s">
        <v>206</v>
      </c>
      <c r="H50" s="3" t="s">
        <v>207</v>
      </c>
      <c r="I50" s="3" t="s">
        <v>208</v>
      </c>
      <c r="J50" s="3"/>
      <c r="K50" s="3"/>
    </row>
    <row r="51" customFormat="false" ht="23.85" hidden="false" customHeight="false" outlineLevel="0" collapsed="false">
      <c r="A51" s="3" t="n">
        <v>50</v>
      </c>
      <c r="B51" s="3" t="s">
        <v>125</v>
      </c>
      <c r="C51" s="3" t="s">
        <v>199</v>
      </c>
      <c r="D51" s="3" t="s">
        <v>209</v>
      </c>
      <c r="E51" s="3" t="s">
        <v>128</v>
      </c>
      <c r="F51" s="3" t="s">
        <v>210</v>
      </c>
      <c r="G51" s="3" t="s">
        <v>211</v>
      </c>
      <c r="H51" s="3" t="s">
        <v>212</v>
      </c>
      <c r="I51" s="3" t="s">
        <v>213</v>
      </c>
      <c r="J51" s="3"/>
      <c r="K51" s="3"/>
    </row>
    <row r="52" customFormat="false" ht="23.85" hidden="false" customHeight="false" outlineLevel="0" collapsed="false">
      <c r="A52" s="3" t="n">
        <v>51</v>
      </c>
      <c r="B52" s="3" t="s">
        <v>125</v>
      </c>
      <c r="C52" s="3" t="s">
        <v>199</v>
      </c>
      <c r="D52" s="3" t="s">
        <v>209</v>
      </c>
      <c r="E52" s="3" t="s">
        <v>128</v>
      </c>
      <c r="F52" s="3" t="s">
        <v>214</v>
      </c>
      <c r="G52" s="3" t="s">
        <v>215</v>
      </c>
      <c r="H52" s="3" t="s">
        <v>216</v>
      </c>
      <c r="I52" s="3" t="s">
        <v>217</v>
      </c>
      <c r="J52" s="3"/>
      <c r="K52" s="3"/>
    </row>
    <row r="53" customFormat="false" ht="35.05" hidden="false" customHeight="false" outlineLevel="0" collapsed="false">
      <c r="A53" s="3" t="n">
        <v>52</v>
      </c>
      <c r="B53" s="3" t="s">
        <v>125</v>
      </c>
      <c r="C53" s="3" t="s">
        <v>199</v>
      </c>
      <c r="D53" s="3" t="s">
        <v>218</v>
      </c>
      <c r="E53" s="3" t="s">
        <v>128</v>
      </c>
      <c r="F53" s="3" t="s">
        <v>219</v>
      </c>
      <c r="G53" s="3" t="s">
        <v>220</v>
      </c>
      <c r="H53" s="3" t="s">
        <v>221</v>
      </c>
      <c r="I53" s="3" t="s">
        <v>222</v>
      </c>
      <c r="J53" s="3"/>
      <c r="K53" s="3"/>
    </row>
    <row r="54" customFormat="false" ht="23.85" hidden="false" customHeight="false" outlineLevel="0" collapsed="false">
      <c r="A54" s="3" t="n">
        <v>53</v>
      </c>
      <c r="B54" s="3" t="s">
        <v>125</v>
      </c>
      <c r="C54" s="3" t="s">
        <v>223</v>
      </c>
      <c r="D54" s="3" t="s">
        <v>224</v>
      </c>
      <c r="E54" s="3" t="s">
        <v>128</v>
      </c>
      <c r="F54" s="3" t="s">
        <v>225</v>
      </c>
      <c r="G54" s="3" t="s">
        <v>226</v>
      </c>
      <c r="H54" s="3" t="s">
        <v>227</v>
      </c>
      <c r="I54" s="3" t="s">
        <v>228</v>
      </c>
      <c r="J54" s="3"/>
      <c r="K54" s="3"/>
    </row>
    <row r="55" customFormat="false" ht="23.85" hidden="false" customHeight="false" outlineLevel="0" collapsed="false">
      <c r="A55" s="3" t="n">
        <v>54</v>
      </c>
      <c r="B55" s="3" t="s">
        <v>125</v>
      </c>
      <c r="C55" s="3" t="s">
        <v>223</v>
      </c>
      <c r="D55" s="3" t="s">
        <v>224</v>
      </c>
      <c r="E55" s="3" t="s">
        <v>128</v>
      </c>
      <c r="F55" s="3" t="s">
        <v>229</v>
      </c>
      <c r="G55" s="3" t="s">
        <v>230</v>
      </c>
      <c r="H55" s="3" t="s">
        <v>231</v>
      </c>
      <c r="I55" s="3" t="s">
        <v>232</v>
      </c>
      <c r="J55" s="3"/>
      <c r="K5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0"/>
  </cols>
  <sheetData>
    <row r="1" customFormat="false" ht="16.15" hidden="false" customHeight="false" outlineLevel="0" collapsed="false">
      <c r="A1" s="4" t="s">
        <v>233</v>
      </c>
    </row>
    <row r="3" customFormat="false" ht="15" hidden="false" customHeight="false" outlineLevel="0" collapsed="false">
      <c r="A3" s="5" t="s">
        <v>234</v>
      </c>
      <c r="B3" s="5" t="s">
        <v>14</v>
      </c>
      <c r="C3" s="5" t="s">
        <v>20</v>
      </c>
      <c r="D3" s="5" t="s">
        <v>128</v>
      </c>
      <c r="E3" s="5" t="s">
        <v>235</v>
      </c>
    </row>
    <row r="4" customFormat="false" ht="15" hidden="false" customHeight="false" outlineLevel="0" collapsed="false">
      <c r="A4" s="6" t="s">
        <v>11</v>
      </c>
      <c r="B4" s="6" t="n">
        <f aca="false">COUNTIFS('Player VO Lines'!$B$2:$B$55,$A4,'Player VO Lines'!$E$2:$E$55,B$3)</f>
        <v>26</v>
      </c>
      <c r="C4" s="6" t="n">
        <f aca="false">COUNTIFS('Player VO Lines'!$B$2:$B$55,$A4,'Player VO Lines'!$E$2:$E$55,C$3)</f>
        <v>5</v>
      </c>
      <c r="D4" s="6" t="n">
        <f aca="false">COUNTIFS('Player VO Lines'!$B$2:$B$55,$A4,'Player VO Lines'!$E$2:$E$55,D$3)</f>
        <v>0</v>
      </c>
      <c r="E4" s="6" t="n">
        <f aca="false">COUNTIF('Player VO Lines'!$B$2:$B$55,$A4)</f>
        <v>31</v>
      </c>
    </row>
    <row r="5" customFormat="false" ht="15" hidden="false" customHeight="false" outlineLevel="0" collapsed="false">
      <c r="A5" s="6" t="s">
        <v>125</v>
      </c>
      <c r="B5" s="6" t="n">
        <f aca="false">COUNTIFS('Player VO Lines'!$B$2:$B$55,$A5,'Player VO Lines'!$E$2:$E$55,B$3)</f>
        <v>0</v>
      </c>
      <c r="C5" s="6" t="n">
        <f aca="false">COUNTIFS('Player VO Lines'!$B$2:$B$55,$A5,'Player VO Lines'!$E$2:$E$55,C$3)</f>
        <v>2</v>
      </c>
      <c r="D5" s="6" t="n">
        <f aca="false">COUNTIFS('Player VO Lines'!$B$2:$B$55,$A5,'Player VO Lines'!$E$2:$E$55,D$3)</f>
        <v>21</v>
      </c>
      <c r="E5" s="6" t="n">
        <f aca="false">COUNTIF('Player VO Lines'!$B$2:$B$55,$A5)</f>
        <v>23</v>
      </c>
    </row>
    <row r="6" customFormat="false" ht="15" hidden="false" customHeight="false" outlineLevel="0" collapsed="false">
      <c r="A6" s="7" t="s">
        <v>235</v>
      </c>
      <c r="B6" s="7" t="n">
        <f aca="false">SUM(B4:B5)</f>
        <v>26</v>
      </c>
      <c r="C6" s="7" t="n">
        <f aca="false">SUM(C4:C5)</f>
        <v>7</v>
      </c>
      <c r="D6" s="7" t="n">
        <f aca="false">SUM(D4:D5)</f>
        <v>21</v>
      </c>
      <c r="E6" s="7" t="n">
        <f aca="false">SUM(E4:E5)</f>
        <v>54</v>
      </c>
    </row>
    <row r="8" customFormat="false" ht="15" hidden="false" customHeight="false" outlineLevel="0" collapsed="false">
      <c r="A8" s="0" t="s">
        <v>236</v>
      </c>
      <c r="B8" s="0" t="n">
        <f aca="false">COUNTIF('Player VO Lines'!$J$2:$J$55,"Y")</f>
        <v>0</v>
      </c>
    </row>
    <row r="9" customFormat="false" ht="15" hidden="false" customHeight="false" outlineLevel="0" collapsed="false">
      <c r="A9" s="8" t="s">
        <v>237</v>
      </c>
      <c r="B9" s="9" t="n">
        <f aca="false">COUNTIF('Player VO Lines'!$K$2:$K$55,"Y")</f>
        <v>0</v>
      </c>
    </row>
    <row r="10" customFormat="false" ht="15" hidden="false" customHeight="false" outlineLevel="0" collapsed="false">
      <c r="A10" s="8"/>
    </row>
    <row r="12" customFormat="false" ht="15" hidden="false" customHeight="false" outlineLevel="0" collapsed="false">
      <c r="A12" s="10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2026-08-20T02:53:10Z</dcterms:created>
  <dc:creator>openpyxl</dc:creator>
  <dc:description/>
  <dc:language>en-US</dc:language>
  <cp:lastModifiedBy/>
  <dcterms:modified xsi:type="dcterms:W3CDTF">2026-08-20T02:53:10Z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